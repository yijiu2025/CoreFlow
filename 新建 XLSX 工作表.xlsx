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<sst xmlns="http://schemas.openxmlformats.org/spreadsheetml/2006/main" count="191" uniqueCount="41">
  <si>
    <t>2025.2.3</t>
  </si>
  <si>
    <t>小红书红包</t>
  </si>
  <si>
    <t>游戏</t>
  </si>
  <si>
    <t>出发车费</t>
  </si>
  <si>
    <t>充电</t>
  </si>
  <si>
    <t>未知</t>
  </si>
  <si>
    <t>王欣餐费</t>
  </si>
  <si>
    <t>吃饭</t>
  </si>
  <si>
    <t>猫眼</t>
  </si>
  <si>
    <t>拼多多</t>
  </si>
  <si>
    <t>水果</t>
  </si>
  <si>
    <t>超市</t>
  </si>
  <si>
    <t>买电脑</t>
  </si>
  <si>
    <t>公交卡充值</t>
  </si>
  <si>
    <t>早饭</t>
  </si>
  <si>
    <t>买无线网卡天线</t>
  </si>
  <si>
    <t>网盘会员</t>
  </si>
  <si>
    <t>淘宝</t>
  </si>
  <si>
    <t>车费</t>
  </si>
  <si>
    <t>奶茶</t>
  </si>
  <si>
    <t>游玩</t>
  </si>
  <si>
    <t>衣服</t>
  </si>
  <si>
    <t>购物</t>
  </si>
  <si>
    <t>房租</t>
  </si>
  <si>
    <t>花费</t>
  </si>
  <si>
    <t>剪发</t>
  </si>
  <si>
    <t>95+10.6</t>
  </si>
  <si>
    <t>党费</t>
  </si>
  <si>
    <t>彩票</t>
  </si>
  <si>
    <t>话费</t>
  </si>
  <si>
    <t>交通</t>
  </si>
  <si>
    <t>其他</t>
  </si>
  <si>
    <t>电费</t>
  </si>
  <si>
    <t>137+103</t>
  </si>
  <si>
    <t>150+127.5</t>
  </si>
  <si>
    <t>理发</t>
  </si>
  <si>
    <t>菲律宾马来西亚</t>
  </si>
  <si>
    <t>2026年上班期间支出明细</t>
  </si>
  <si>
    <t>工资</t>
  </si>
  <si>
    <t>红包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</si>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</sst>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"/>
  <sheetViews>
    <sheetView topLeftCell="A162" workbookViewId="0">
      <selection activeCell="F199" sqref="F199"/>
    </sheetView>
  </sheetViews>
  <sheetFormatPr defaultColWidth="9" defaultRowHeight="13.5"/>
  <cols>
    <col min="2" max="2" width="11.5" customWidth="1"/>
    <col min="3" max="3" width="12.5" customWidth="1"/>
    <col min="6" max="6" width="10.375"/>
    <col min="7" max="7" width="9.375"/>
    <col min="11" max="11" width="14" customWidth="1"/>
  </cols>
  <sheetData>
    <row r="1" spans="1:6">
      <c r="A1" t="s">
        <v>0</v>
      </c>
      <c r="B1" t="s">
        <v>1</v>
      </c>
      <c r="C1">
        <v>8</v>
      </c>
    </row>
    <row r="2" spans="1:6">
      <c r="B2" t="s">
        <v>2</v>
      </c>
      <c r="C2">
        <v>-20</v>
      </c>
    </row>
    <row r="3" spans="1:6">
      <c r="B3" t="s">
        <v>3</v>
      </c>
      <c r="C3">
        <v>-60</v>
      </c>
    </row>
    <row r="4" spans="1:6">
      <c r="B4" t="s">
        <v>4</v>
      </c>
      <c r="C4">
        <f>-3.5-4-4-4</f>
        <v>-15.5</v>
      </c>
    </row>
    <row r="5" spans="1:6">
      <c r="B5" t="s">
        <v>5</v>
      </c>
      <c r="C5">
        <f>-11-8</f>
        <v>-19</v>
      </c>
      <c r="F5">
        <v>129948</v>
      </c>
    </row>
    <row r="6" spans="1:6">
      <c r="B6" t="s">
        <v>6</v>
      </c>
      <c r="C6">
        <v>75</v>
      </c>
      <c r="F6">
        <f>C18+C36+C48+C62+C76+C90+C104+C118+C132+C147+C161+C175+C188</f>
        <v>-39980.95</v>
      </c>
    </row>
    <row r="7" spans="1:6">
      <c r="B7" t="s">
        <v>7</v>
      </c>
      <c r="C7">
        <f>-71-15-25.76</f>
        <v>-111.76</v>
      </c>
      <c r="F7">
        <f>F5+F6</f>
        <v>89967.05</v>
      </c>
    </row>
    <row r="8" spans="1:6">
      <c r="B8" t="s">
        <v>8</v>
      </c>
      <c r="C8">
        <f>-216+72+72</f>
        <v>-72</v>
      </c>
    </row>
    <row r="9" spans="1:6">
      <c r="B9" t="s">
        <v>9</v>
      </c>
      <c r="C9">
        <f>-4.98-6.34</f>
        <v>-11.32</v>
      </c>
    </row>
    <row r="10" spans="1:6">
      <c r="B10" t="s">
        <v>10</v>
      </c>
      <c r="C10">
        <v>-22.8</v>
      </c>
    </row>
    <row r="11" spans="1:6">
      <c r="B11" t="s">
        <v>11</v>
      </c>
      <c r="C11">
        <v>-22.7</v>
      </c>
    </row>
    <row r="12" spans="1:6">
      <c r="B12" t="s">
        <v>12</v>
      </c>
      <c r="C12">
        <v>-5558.52</v>
      </c>
    </row>
    <row r="13" spans="1:6">
      <c r="B13" t="s">
        <v>13</v>
      </c>
      <c r="C13">
        <v>-20</v>
      </c>
    </row>
    <row r="14" spans="1:6">
      <c r="B14" t="s">
        <v>14</v>
      </c>
      <c r="C14">
        <f>-8.95-8.82-8.82-8.82-7-8.95-8.8-8.92-8.83-8.84-8.73-8.82-8.85-8.92-8.9</f>
        <v>-130.97</v>
      </c>
    </row>
    <row r="15" spans="1:6">
      <c r="B15" t="s">
        <v>15</v>
      </c>
      <c r="C15">
        <v>-14</v>
      </c>
    </row>
    <row r="16" spans="1:6">
      <c r="B16" t="s">
        <v>16</v>
      </c>
      <c r="C16">
        <v>-2.8</v>
      </c>
    </row>
    <row r="17" spans="1:3">
      <c r="B17" t="s">
        <v>17</v>
      </c>
      <c r="C17">
        <f>-2.8-27.93-27.9-31.2</f>
        <v>-89.83</v>
      </c>
    </row>
    <row r="18" spans="1:3">
      <c r="C18">
        <f>SUM(C1:C17)</f>
        <v>-6088.2</v>
      </c>
    </row>
    <row r="19" spans="1:3">
      <c r="A19">
        <v>25.3</v>
      </c>
      <c r="B19" t="s">
        <v>18</v>
      </c>
      <c r="C19">
        <f>-217-91.79</f>
        <v>-308.79</v>
      </c>
    </row>
    <row r="20" spans="1:3">
      <c r="B20" t="s">
        <v>7</v>
      </c>
      <c r="C20">
        <f>-250.74-15-13</f>
        <v>-278.74</v>
      </c>
    </row>
    <row r="21" spans="1:3">
      <c r="B21" t="s">
        <v>19</v>
      </c>
      <c r="C21">
        <f>-21.2-6.3</f>
        <v>-27.5</v>
      </c>
    </row>
    <row r="22" spans="1:3">
      <c r="B22" t="s">
        <v>20</v>
      </c>
      <c r="C22">
        <f>-219.8-2.5-2.5-103-13</f>
        <v>-340.8</v>
      </c>
    </row>
    <row r="23" spans="1:3">
      <c r="B23" t="s">
        <v>21</v>
      </c>
      <c r="C23">
        <v>-138</v>
      </c>
    </row>
    <row r="24" spans="1:3">
      <c r="B24" t="s">
        <v>22</v>
      </c>
      <c r="C24">
        <f>-6.78-4.19-0.12</f>
        <v>-11.09</v>
      </c>
    </row>
    <row r="25" spans="1:3">
      <c r="B25" t="s">
        <v>23</v>
      </c>
      <c r="C25">
        <f>-1000-1000</f>
        <v>-2000</v>
      </c>
    </row>
    <row r="26" spans="1:3">
      <c r="B26" t="s">
        <v>24</v>
      </c>
      <c r="C26">
        <f>-1000-49-18-20-1200-4.5-2.5</f>
        <v>-2294</v>
      </c>
    </row>
    <row r="27" spans="1:3">
      <c r="B27" t="s">
        <v>7</v>
      </c>
      <c r="C27">
        <f>-18-77-70-21.88-20.69-20.79-33</f>
        <v>-261.36</v>
      </c>
    </row>
    <row r="28" spans="1:3">
      <c r="B28" t="s">
        <v>25</v>
      </c>
      <c r="C28">
        <v>-40</v>
      </c>
    </row>
    <row r="29" spans="1:3">
      <c r="B29" t="s">
        <v>10</v>
      </c>
      <c r="C29">
        <f>-18.5-24.4-45</f>
        <v>-87.9</v>
      </c>
    </row>
    <row r="30" spans="1:3">
      <c r="B30" t="s">
        <v>11</v>
      </c>
      <c r="C30">
        <f>-9.9-52.6-15.8-5</f>
        <v>-83.3</v>
      </c>
    </row>
    <row r="31" spans="1:3">
      <c r="B31" t="s">
        <v>6</v>
      </c>
      <c r="C31" t="s">
        <v>26</v>
      </c>
    </row>
    <row r="32" spans="1:3">
      <c r="B32" t="s">
        <v>27</v>
      </c>
      <c r="C32">
        <v>-6</v>
      </c>
    </row>
    <row r="33" spans="1:3">
      <c r="B33" t="s">
        <v>11</v>
      </c>
      <c r="C33">
        <f>-25-25-24.9-18.3</f>
        <v>-93.2</v>
      </c>
    </row>
    <row r="34" spans="1:3">
      <c r="B34" t="s">
        <v>5</v>
      </c>
      <c r="C34">
        <v>-4</v>
      </c>
    </row>
    <row r="35" spans="1:3">
      <c r="B35" t="s">
        <v>28</v>
      </c>
      <c r="C35">
        <v>-4</v>
      </c>
    </row>
    <row r="36" spans="1:3">
      <c r="C36">
        <f>SUM(C19:C35)</f>
        <v>-5978.68</v>
      </c>
    </row>
    <row r="37" spans="1:3">
      <c r="A37">
        <v>25.4</v>
      </c>
      <c r="B37" t="s">
        <v>7</v>
      </c>
      <c r="C37">
        <f>-213.79-21.8-22.9-21.79-13-16-18.5-5.5-6-21.25-16-15-20-11-50-11</f>
        <v>-483.53</v>
      </c>
    </row>
    <row r="38" spans="1:3">
      <c r="B38" t="s">
        <v>29</v>
      </c>
      <c r="C38">
        <v>-128.73</v>
      </c>
    </row>
    <row r="39" spans="1:3">
      <c r="B39" t="s">
        <v>22</v>
      </c>
      <c r="C39">
        <f>-38.9-29.9-18.9-18.7-17.8-22.8-20.2+10.1-35+12+11-22.7+11.4</f>
        <v>-180.4</v>
      </c>
    </row>
    <row r="40" spans="1:3">
      <c r="B40" t="s">
        <v>30</v>
      </c>
      <c r="C40">
        <v>-26.8</v>
      </c>
    </row>
    <row r="41" spans="1:3">
      <c r="B41" t="s">
        <v>6</v>
      </c>
      <c r="C41">
        <v>95</v>
      </c>
    </row>
    <row r="42" spans="1:3">
      <c r="B42" t="s">
        <v>28</v>
      </c>
      <c r="C42">
        <v>-4</v>
      </c>
    </row>
    <row r="43" spans="1:3">
      <c r="B43" t="s">
        <v>31</v>
      </c>
      <c r="C43">
        <f>-57-24-10-9-6-9-9+9.3</f>
        <v>-114.7</v>
      </c>
    </row>
    <row r="44" spans="1:3">
      <c r="B44" t="s">
        <v>11</v>
      </c>
      <c r="C44">
        <f>-19.7-31.1</f>
        <v>-50.8</v>
      </c>
    </row>
    <row r="45" spans="1:3">
      <c r="B45" t="s">
        <v>20</v>
      </c>
      <c r="C45">
        <f>-40-23-374-43-30-8</f>
        <v>-518</v>
      </c>
    </row>
    <row r="46" spans="1:3">
      <c r="B46" t="s">
        <v>32</v>
      </c>
      <c r="C46">
        <v>-200</v>
      </c>
    </row>
    <row r="47" spans="1:3">
      <c r="B47" t="s">
        <v>23</v>
      </c>
      <c r="C47">
        <v>-1000</v>
      </c>
    </row>
    <row r="48" spans="1:3">
      <c r="C48">
        <f>SUM(C37:C47)</f>
        <v>-2611.96</v>
      </c>
    </row>
    <row r="49" spans="1:3">
      <c r="A49">
        <v>25.5</v>
      </c>
      <c r="B49" t="s">
        <v>7</v>
      </c>
      <c r="C49">
        <f>-173.55-132.9-18-81-68-3.9-16-13-10-10-75</f>
        <v>-601.35</v>
      </c>
    </row>
    <row r="50" spans="1:3">
      <c r="B50" t="s">
        <v>29</v>
      </c>
    </row>
    <row r="51" spans="1:3">
      <c r="B51" t="s">
        <v>22</v>
      </c>
      <c r="C51">
        <f>-25.44-16.8-13.89-18.8-20-24-16-45-24.2-23.2-27.6-20.8-3.9-18.77</f>
        <v>-298.4</v>
      </c>
    </row>
    <row r="52" spans="1:3">
      <c r="B52" t="s">
        <v>30</v>
      </c>
      <c r="C52">
        <v>-26</v>
      </c>
    </row>
    <row r="53" spans="1:3">
      <c r="B53" t="s">
        <v>6</v>
      </c>
      <c r="C53">
        <v>86</v>
      </c>
    </row>
    <row r="54" spans="1:3">
      <c r="B54" t="s">
        <v>28</v>
      </c>
    </row>
    <row r="55" spans="1:3">
      <c r="B55" t="s">
        <v>31</v>
      </c>
      <c r="C55">
        <f>-5-5.5+12-12</f>
        <v>-10.5</v>
      </c>
    </row>
    <row r="56" spans="1:3">
      <c r="B56" t="s">
        <v>11</v>
      </c>
      <c r="C56">
        <f>-4.5-6-6.5-5-24.9</f>
        <v>-46.9</v>
      </c>
    </row>
    <row r="57" spans="1:3">
      <c r="B57" t="s">
        <v>20</v>
      </c>
    </row>
    <row r="58" spans="1:3">
      <c r="B58" t="s">
        <v>32</v>
      </c>
    </row>
    <row r="59" spans="1:3">
      <c r="B59" t="s">
        <v>23</v>
      </c>
      <c r="C59">
        <v>-1000</v>
      </c>
    </row>
    <row r="60" spans="1:3">
      <c r="B60" t="s">
        <v>19</v>
      </c>
      <c r="C60">
        <f>-10-5.6-5-6-12.9</f>
        <v>-39.5</v>
      </c>
    </row>
    <row r="61" spans="1:3">
      <c r="B61" t="s">
        <v>10</v>
      </c>
      <c r="C61">
        <f>-14-24.6-32.5</f>
        <v>-71.1</v>
      </c>
    </row>
    <row r="62" spans="1:3">
      <c r="C62">
        <f>SUM(C49:C61)</f>
        <v>-2007.75</v>
      </c>
    </row>
    <row r="63" spans="1:3">
      <c r="A63">
        <v>25.6</v>
      </c>
      <c r="B63" t="s">
        <v>7</v>
      </c>
      <c r="C63">
        <f>-275.48-66-103-16-2-59-21.87-18-16</f>
        <v>-577.35</v>
      </c>
    </row>
    <row r="64" spans="1:3">
      <c r="B64" t="s">
        <v>29</v>
      </c>
    </row>
    <row r="65" spans="1:3">
      <c r="B65" t="s">
        <v>22</v>
      </c>
      <c r="C65">
        <f>-79.9-29.7-21.5-14.3-0.5-13-25-11.2-14.8-4.9-18.9-18.8-11.4</f>
        <v>-263.9</v>
      </c>
    </row>
    <row r="66" spans="1:3">
      <c r="B66" t="s">
        <v>30</v>
      </c>
    </row>
    <row r="67" spans="1:3">
      <c r="B67" t="s">
        <v>6</v>
      </c>
      <c r="C67">
        <v>90</v>
      </c>
    </row>
    <row r="68" spans="1:3">
      <c r="B68" t="s">
        <v>28</v>
      </c>
    </row>
    <row r="69" spans="1:3">
      <c r="B69" t="s">
        <v>31</v>
      </c>
    </row>
    <row r="70" spans="1:3">
      <c r="B70" t="s">
        <v>11</v>
      </c>
      <c r="C70">
        <f>-37.7-24.2-13.4-7.5-41.3-9.9</f>
        <v>-134</v>
      </c>
    </row>
    <row r="71" spans="1:3">
      <c r="B71" t="s">
        <v>20</v>
      </c>
    </row>
    <row r="72" spans="1:3">
      <c r="B72" t="s">
        <v>32</v>
      </c>
      <c r="C72">
        <f>-4-80</f>
        <v>-84</v>
      </c>
    </row>
    <row r="73" spans="1:3">
      <c r="B73" t="s">
        <v>23</v>
      </c>
      <c r="C73">
        <v>-1000</v>
      </c>
    </row>
    <row r="74" spans="1:3">
      <c r="B74" t="s">
        <v>19</v>
      </c>
      <c r="C74">
        <f>-17.9-5+5.6-4.5-5.5+5.5-6-5-3.6</f>
        <v>-36.4</v>
      </c>
    </row>
    <row r="75" spans="1:3">
      <c r="B75" t="s">
        <v>10</v>
      </c>
      <c r="C75">
        <f>-27.8-35.8-26</f>
        <v>-89.6</v>
      </c>
    </row>
    <row r="76" spans="1:3">
      <c r="C76">
        <f>SUM(C63:C75)</f>
        <v>-2095.25</v>
      </c>
    </row>
    <row r="77" spans="1:3">
      <c r="A77">
        <v>25.7</v>
      </c>
      <c r="B77" t="s">
        <v>7</v>
      </c>
      <c r="C77">
        <f>-339.33-12-2-12.5-19.27-15.8-6-2-2-10-10-2-18.2-116-11.9-6.2-52</f>
        <v>-637.2</v>
      </c>
    </row>
    <row r="78" spans="1:3">
      <c r="B78" t="s">
        <v>29</v>
      </c>
    </row>
    <row r="79" spans="1:3">
      <c r="B79" t="s">
        <v>22</v>
      </c>
      <c r="C79">
        <f>-11.59-3.61-0.87-5.65-4.9</f>
        <v>-26.62</v>
      </c>
    </row>
    <row r="80" spans="1:3">
      <c r="B80" t="s">
        <v>30</v>
      </c>
      <c r="C80">
        <v>-10</v>
      </c>
    </row>
    <row r="81" spans="1:3">
      <c r="B81" t="s">
        <v>6</v>
      </c>
      <c r="C81" t="s">
        <v>33</v>
      </c>
    </row>
    <row r="82" spans="1:3">
      <c r="B82" t="s">
        <v>28</v>
      </c>
      <c r="C82">
        <v>-4</v>
      </c>
    </row>
    <row r="83" spans="1:3">
      <c r="B83" t="s">
        <v>31</v>
      </c>
    </row>
    <row r="84" spans="1:3">
      <c r="B84" t="s">
        <v>11</v>
      </c>
      <c r="C84">
        <v>-12.8</v>
      </c>
    </row>
    <row r="85" spans="1:3">
      <c r="B85" t="s">
        <v>20</v>
      </c>
    </row>
    <row r="86" spans="1:3">
      <c r="B86" t="s">
        <v>32</v>
      </c>
      <c r="C86">
        <v>-200</v>
      </c>
    </row>
    <row r="87" spans="1:3">
      <c r="B87" t="s">
        <v>23</v>
      </c>
      <c r="C87">
        <v>-1000</v>
      </c>
    </row>
    <row r="88" spans="1:3">
      <c r="B88" t="s">
        <v>19</v>
      </c>
      <c r="C88">
        <f>-5-6-7.9-6.5-5-6-6.9-4.5-16.8+5.6+6-3-5-8.79-5</f>
        <v>-74.79</v>
      </c>
    </row>
    <row r="89" spans="1:3">
      <c r="B89" t="s">
        <v>10</v>
      </c>
      <c r="C89">
        <f>-16.8-31.9-16.6-16.9-25</f>
        <v>-107.2</v>
      </c>
    </row>
    <row r="90" spans="1:3">
      <c r="C90">
        <f>SUM(C77:C89)</f>
        <v>-2072.61</v>
      </c>
    </row>
    <row r="91" spans="1:3">
      <c r="A91">
        <v>25.8</v>
      </c>
      <c r="B91" t="s">
        <v>7</v>
      </c>
      <c r="C91">
        <f>-258.68-19.27-17.3-1.5-20.9-37</f>
        <v>-354.65</v>
      </c>
    </row>
    <row r="92" spans="1:3">
      <c r="B92" t="s">
        <v>29</v>
      </c>
    </row>
    <row r="93" spans="1:3">
      <c r="B93" t="s">
        <v>22</v>
      </c>
      <c r="C93">
        <f>-38.3-2.69-1.15</f>
        <v>-42.14</v>
      </c>
    </row>
    <row r="94" spans="1:3">
      <c r="B94" t="s">
        <v>30</v>
      </c>
      <c r="C94">
        <v>-20</v>
      </c>
    </row>
    <row r="95" spans="1:3">
      <c r="B95" t="s">
        <v>6</v>
      </c>
    </row>
    <row r="96" spans="1:3">
      <c r="B96" t="s">
        <v>28</v>
      </c>
    </row>
    <row r="97" spans="1:3">
      <c r="B97" t="s">
        <v>31</v>
      </c>
      <c r="C97">
        <v>-23.8</v>
      </c>
    </row>
    <row r="98" spans="1:3">
      <c r="B98" t="s">
        <v>11</v>
      </c>
      <c r="C98">
        <f>-14.9-41.39-68.09-26.15-15-8.5-25.11-25-39.67</f>
        <v>-263.81</v>
      </c>
    </row>
    <row r="99" spans="1:3">
      <c r="B99" t="s">
        <v>20</v>
      </c>
    </row>
    <row r="100" spans="1:3">
      <c r="B100" t="s">
        <v>32</v>
      </c>
      <c r="C100">
        <f>-200-3.6-3.6-3.6-3.6</f>
        <v>-214.4</v>
      </c>
    </row>
    <row r="101" spans="1:3">
      <c r="B101" t="s">
        <v>23</v>
      </c>
      <c r="C101">
        <v>-1000</v>
      </c>
    </row>
    <row r="102" spans="1:3">
      <c r="B102" t="s">
        <v>19</v>
      </c>
      <c r="C102">
        <f>-50.57+6.3-6.5+6.3+6.3+6.5-5.5-6.5-6+4-3</f>
        <v>-48.67</v>
      </c>
    </row>
    <row r="103" spans="1:3">
      <c r="B103" t="s">
        <v>10</v>
      </c>
      <c r="C103">
        <f>-22.5-7</f>
        <v>-29.5</v>
      </c>
    </row>
    <row r="104" spans="1:3">
      <c r="C104">
        <f>SUM(C91:C103)</f>
        <v>-1996.97</v>
      </c>
    </row>
    <row r="105" spans="1:3">
      <c r="A105">
        <v>25.9</v>
      </c>
      <c r="B105" t="s">
        <v>7</v>
      </c>
      <c r="C105">
        <f>-255.74-10-2.5-22-8.8-119-22-22-71-13-1.5-22</f>
        <v>-569.54</v>
      </c>
    </row>
    <row r="106" spans="1:3">
      <c r="B106" t="s">
        <v>29</v>
      </c>
      <c r="C106">
        <v>-9.97</v>
      </c>
    </row>
    <row r="107" spans="1:3">
      <c r="B107" t="s">
        <v>22</v>
      </c>
    </row>
    <row r="108" spans="1:3">
      <c r="B108" t="s">
        <v>30</v>
      </c>
    </row>
    <row r="109" spans="1:3">
      <c r="B109" t="s">
        <v>6</v>
      </c>
      <c r="C109">
        <v>150</v>
      </c>
    </row>
    <row r="110" spans="1:3">
      <c r="B110" t="s">
        <v>28</v>
      </c>
    </row>
    <row r="111" spans="1:3">
      <c r="B111" t="s">
        <v>31</v>
      </c>
    </row>
    <row r="112" spans="1:3">
      <c r="B112" t="s">
        <v>11</v>
      </c>
      <c r="C112">
        <f>-41.3-22.79-8.8-14.7-24.9-28.8-27.9</f>
        <v>-169.19</v>
      </c>
    </row>
    <row r="113" spans="1:3">
      <c r="B113" t="s">
        <v>20</v>
      </c>
    </row>
    <row r="114" spans="1:3">
      <c r="B114" t="s">
        <v>32</v>
      </c>
      <c r="C114">
        <f>-3.6-3.6-3.6-3.6-1.3-1.3-3</f>
        <v>-20</v>
      </c>
    </row>
    <row r="115" spans="1:3">
      <c r="B115" t="s">
        <v>23</v>
      </c>
      <c r="C115">
        <v>-1000</v>
      </c>
    </row>
    <row r="116" spans="1:3">
      <c r="B116" t="s">
        <v>19</v>
      </c>
      <c r="C116">
        <f>-40.54-8+6.5+6.5-6.6+7.3</f>
        <v>-34.84</v>
      </c>
    </row>
    <row r="117" spans="1:3">
      <c r="B117" t="s">
        <v>10</v>
      </c>
      <c r="C117">
        <f>-23.8-8.6-35-28.9</f>
        <v>-96.3</v>
      </c>
    </row>
    <row r="118" spans="1:3">
      <c r="C118">
        <f>SUM(C105:C117)</f>
        <v>-1749.84</v>
      </c>
    </row>
    <row r="119" spans="1:3">
      <c r="A119">
        <v>25.1</v>
      </c>
      <c r="B119" t="s">
        <v>7</v>
      </c>
      <c r="C119">
        <f>-379.9-17-22-22-56-98-2-18-10-18-18-15-40-26-180-11-10</f>
        <v>-942.9</v>
      </c>
    </row>
    <row r="120" spans="1:3">
      <c r="B120" t="s">
        <v>29</v>
      </c>
    </row>
    <row r="121" spans="1:3">
      <c r="B121" t="s">
        <v>22</v>
      </c>
      <c r="C121">
        <v>-400</v>
      </c>
    </row>
    <row r="122" spans="1:3">
      <c r="B122" t="s">
        <v>30</v>
      </c>
      <c r="C122">
        <v>-268.43</v>
      </c>
    </row>
    <row r="123" spans="1:3">
      <c r="B123" t="s">
        <v>6</v>
      </c>
      <c r="C123" t="s">
        <v>34</v>
      </c>
    </row>
    <row r="124" spans="1:3">
      <c r="B124" t="s">
        <v>28</v>
      </c>
    </row>
    <row r="125" spans="1:3">
      <c r="B125" t="s">
        <v>31</v>
      </c>
      <c r="C125">
        <f>-28.8-20-487-55.8</f>
        <v>-591.6</v>
      </c>
    </row>
    <row r="126" spans="1:3">
      <c r="B126" t="s">
        <v>11</v>
      </c>
      <c r="C126">
        <f>-3-25.7-17-1-11.9-6.5-9.8-10.8</f>
        <v>-85.7</v>
      </c>
    </row>
    <row r="127" spans="1:3">
      <c r="B127" t="s">
        <v>20</v>
      </c>
      <c r="C127">
        <f>-115-312-305</f>
        <v>-732</v>
      </c>
    </row>
    <row r="128" spans="1:3">
      <c r="B128" t="s">
        <v>32</v>
      </c>
      <c r="C128">
        <f>-3-3.6-3.6-3.6</f>
        <v>-13.8</v>
      </c>
    </row>
    <row r="129" spans="1:3">
      <c r="B129" t="s">
        <v>23</v>
      </c>
      <c r="C129">
        <v>-1000</v>
      </c>
    </row>
    <row r="130" spans="1:3">
      <c r="B130" t="s">
        <v>19</v>
      </c>
      <c r="C130">
        <v>-6.3</v>
      </c>
    </row>
    <row r="131" spans="1:3">
      <c r="B131" t="s">
        <v>10</v>
      </c>
      <c r="C131">
        <f>-27-13.5-28.7</f>
        <v>-69.2</v>
      </c>
    </row>
    <row r="132" spans="1:3">
      <c r="C132">
        <f>SUM(C119:C131)</f>
        <v>-4109.93</v>
      </c>
    </row>
    <row r="133" spans="1:3">
      <c r="A133">
        <v>25.11</v>
      </c>
      <c r="B133" t="s">
        <v>7</v>
      </c>
      <c r="C133">
        <f>-299.95-17-17-17-17-17-93-17-12.8-97-17-17-43-7.5-17-16-17</f>
        <v>-739.25</v>
      </c>
    </row>
    <row r="134" spans="1:3">
      <c r="B134" t="s">
        <v>29</v>
      </c>
      <c r="C134">
        <v>-18</v>
      </c>
    </row>
    <row r="135" spans="1:3">
      <c r="B135" t="s">
        <v>22</v>
      </c>
      <c r="C135">
        <f>-6-1.03</f>
        <v>-7.03</v>
      </c>
    </row>
    <row r="136" spans="1:3">
      <c r="B136" t="s">
        <v>30</v>
      </c>
    </row>
    <row r="137" spans="1:3">
      <c r="B137" t="s">
        <v>6</v>
      </c>
    </row>
    <row r="138" spans="1:3">
      <c r="B138" t="s">
        <v>28</v>
      </c>
      <c r="C138">
        <f>-4-6-4</f>
        <v>-14</v>
      </c>
    </row>
    <row r="139" spans="1:3">
      <c r="B139" t="s">
        <v>31</v>
      </c>
    </row>
    <row r="140" spans="1:3">
      <c r="B140" t="s">
        <v>11</v>
      </c>
      <c r="C140">
        <f>-42.9-44.28-35.4</f>
        <v>-122.58</v>
      </c>
    </row>
    <row r="141" spans="1:3">
      <c r="B141" t="s">
        <v>20</v>
      </c>
    </row>
    <row r="142" spans="1:3">
      <c r="B142" t="s">
        <v>32</v>
      </c>
      <c r="C142">
        <f>-200-30-1.3</f>
        <v>-231.3</v>
      </c>
    </row>
    <row r="143" spans="1:3">
      <c r="B143" t="s">
        <v>23</v>
      </c>
    </row>
    <row r="144" spans="1:3">
      <c r="B144" t="s">
        <v>19</v>
      </c>
    </row>
    <row r="145" spans="1:3">
      <c r="B145" t="s">
        <v>10</v>
      </c>
      <c r="C145">
        <f>-13-28.9</f>
        <v>-41.9</v>
      </c>
    </row>
    <row r="146" spans="1:3">
      <c r="B146" t="s">
        <v>35</v>
      </c>
      <c r="C146">
        <v>-40</v>
      </c>
    </row>
    <row r="147" spans="1:3">
      <c r="C147">
        <f>SUM(C133:C146)</f>
        <v>-1214.06</v>
      </c>
    </row>
    <row r="148" spans="1:3">
      <c r="A148">
        <v>25.12</v>
      </c>
      <c r="B148" t="s">
        <v>7</v>
      </c>
      <c r="C148">
        <f>-371.87-124-16-17-17-9.8-17-22-17-22-17-17-17-14.9-17</f>
        <v>-716.57</v>
      </c>
    </row>
    <row r="149" spans="1:3">
      <c r="B149" t="s">
        <v>29</v>
      </c>
      <c r="C149">
        <v>-102.79</v>
      </c>
    </row>
    <row r="150" spans="1:3">
      <c r="B150" t="s">
        <v>22</v>
      </c>
      <c r="C150">
        <v>-4.49</v>
      </c>
    </row>
    <row r="151" spans="1:3">
      <c r="B151" t="s">
        <v>30</v>
      </c>
    </row>
    <row r="152" spans="1:3">
      <c r="B152" t="s">
        <v>6</v>
      </c>
      <c r="C152">
        <v>172.5</v>
      </c>
    </row>
    <row r="153" spans="1:3">
      <c r="B153" t="s">
        <v>28</v>
      </c>
    </row>
    <row r="154" spans="1:3">
      <c r="B154" t="s">
        <v>31</v>
      </c>
    </row>
    <row r="155" spans="1:3">
      <c r="B155" t="s">
        <v>11</v>
      </c>
      <c r="C155">
        <f>-18.9-20.5-16.8-6.8-29-25.16-29.9</f>
        <v>-147.06</v>
      </c>
    </row>
    <row r="156" spans="1:3">
      <c r="B156" t="s">
        <v>20</v>
      </c>
    </row>
    <row r="157" spans="1:3">
      <c r="B157" t="s">
        <v>32</v>
      </c>
      <c r="C157">
        <f>-1.3-1.3</f>
        <v>-2.6</v>
      </c>
    </row>
    <row r="158" spans="1:3">
      <c r="B158" t="s">
        <v>23</v>
      </c>
      <c r="C158">
        <f>-1000-1000</f>
        <v>-2000</v>
      </c>
    </row>
    <row r="159" spans="1:3">
      <c r="B159" t="s">
        <v>19</v>
      </c>
    </row>
    <row r="160" spans="1:3">
      <c r="B160" t="s">
        <v>10</v>
      </c>
      <c r="C160">
        <f>-23.3-7.7</f>
        <v>-31</v>
      </c>
    </row>
    <row r="161" spans="1:3">
      <c r="C161">
        <f>SUM(C148:C160)</f>
        <v>-2832.01</v>
      </c>
    </row>
    <row r="162" spans="1:3">
      <c r="A162">
        <v>26.1</v>
      </c>
      <c r="B162" t="s">
        <v>7</v>
      </c>
      <c r="C162">
        <f>-408.41-11.9-16-12.9-17-38-17-17-10.9-17-140-17-3-22</f>
        <v>-748.11</v>
      </c>
    </row>
    <row r="163" spans="1:3">
      <c r="B163" t="s">
        <v>29</v>
      </c>
    </row>
    <row r="164" spans="1:3">
      <c r="B164" t="s">
        <v>22</v>
      </c>
      <c r="C164">
        <f>-225-23.8-18.81-15.9-6.9-6.9</f>
        <v>-297.31</v>
      </c>
    </row>
    <row r="165" spans="1:3">
      <c r="B165" t="s">
        <v>30</v>
      </c>
      <c r="C165">
        <v>-1600</v>
      </c>
    </row>
    <row r="166" spans="1:3">
      <c r="B166" t="s">
        <v>6</v>
      </c>
      <c r="C166">
        <v>136.5</v>
      </c>
    </row>
    <row r="167" spans="1:3">
      <c r="B167" t="s">
        <v>28</v>
      </c>
      <c r="C167">
        <v>-4</v>
      </c>
    </row>
    <row r="168" spans="1:3">
      <c r="B168" t="s">
        <v>31</v>
      </c>
      <c r="C168">
        <v>400</v>
      </c>
    </row>
    <row r="169" spans="1:3">
      <c r="B169" t="s">
        <v>11</v>
      </c>
      <c r="C169">
        <f>-6-14.15</f>
        <v>-20.15</v>
      </c>
    </row>
    <row r="170" spans="1:3">
      <c r="B170" t="s">
        <v>20</v>
      </c>
    </row>
    <row r="171" spans="1:3">
      <c r="B171" t="s">
        <v>32</v>
      </c>
      <c r="C171">
        <f>-3.6-1.3-30-200</f>
        <v>-234.9</v>
      </c>
    </row>
    <row r="172" spans="1:3">
      <c r="B172" t="s">
        <v>23</v>
      </c>
      <c r="C172">
        <v>-1000</v>
      </c>
    </row>
    <row r="173" spans="1:3">
      <c r="B173" t="s">
        <v>19</v>
      </c>
    </row>
    <row r="174" spans="1:3">
      <c r="B174" t="s">
        <v>10</v>
      </c>
      <c r="C174">
        <f>-37.5-13.3</f>
        <v>-50.8</v>
      </c>
    </row>
    <row r="175" spans="1:3">
      <c r="C175">
        <f>SUM(C162:C174)</f>
        <v>-3418.77</v>
      </c>
    </row>
    <row r="176" spans="1:3">
      <c r="A176">
        <v>26.2</v>
      </c>
      <c r="B176" t="s">
        <v>7</v>
      </c>
      <c r="C176">
        <f>-98.39-110-19-17</f>
        <v>-244.39</v>
      </c>
    </row>
    <row r="177" spans="1:11">
      <c r="B177" t="s">
        <v>29</v>
      </c>
    </row>
    <row r="178" spans="1:11">
      <c r="B178" t="s">
        <v>22</v>
      </c>
      <c r="C178">
        <f>-59-13.8-33-300-800-498-239-60-14-11.4-20.9</f>
        <v>-2049.1</v>
      </c>
    </row>
    <row r="179" spans="1:11">
      <c r="B179" t="s">
        <v>30</v>
      </c>
      <c r="C179">
        <f>-780-60</f>
        <v>-840</v>
      </c>
    </row>
    <row r="180" spans="1:11">
      <c r="B180" t="s">
        <v>6</v>
      </c>
    </row>
    <row r="181" spans="1:11">
      <c r="B181" t="s">
        <v>28</v>
      </c>
    </row>
    <row r="182" spans="1:11">
      <c r="B182" t="s">
        <v>31</v>
      </c>
    </row>
    <row r="183" spans="1:11">
      <c r="B183" t="s">
        <v>11</v>
      </c>
      <c r="C183">
        <v>-666</v>
      </c>
    </row>
    <row r="184" spans="1:11">
      <c r="B184" t="s">
        <v>20</v>
      </c>
    </row>
    <row r="185" spans="1:11">
      <c r="B185" t="s">
        <v>32</v>
      </c>
    </row>
    <row r="186" spans="1:11">
      <c r="B186" t="s">
        <v>23</v>
      </c>
      <c r="K186" t="s">
        <v>36</v>
      </c>
    </row>
    <row r="187" spans="1:11">
      <c r="B187" t="s">
        <v>19</v>
      </c>
      <c r="C187">
        <v>-5.43</v>
      </c>
    </row>
    <row r="188" spans="1:11">
      <c r="C188">
        <f>SUM(C176:C187)</f>
        <v>-3804.92</v>
      </c>
    </row>
    <row r="191" spans="1:11">
      <c r="A191" t="s">
        <v>37</v>
      </c>
    </row>
    <row r="192" spans="1:11">
      <c r="B192" t="s">
        <v>7</v>
      </c>
      <c r="C192">
        <f>-110-22-22</f>
        <v>-154</v>
      </c>
      <c r="F192" t="s">
        <v>38</v>
      </c>
      <c r="G192" s="1">
        <v>9920.5</v>
      </c>
    </row>
    <row r="193" spans="2:7">
      <c r="B193" t="s">
        <v>22</v>
      </c>
      <c r="C193">
        <v>-59</v>
      </c>
      <c r="G193">
        <v>110.6</v>
      </c>
    </row>
    <row r="194" spans="2:7">
      <c r="B194" t="s">
        <v>23</v>
      </c>
      <c r="C194">
        <v>-1000</v>
      </c>
    </row>
    <row r="195" spans="2:7">
      <c r="B195" t="s">
        <v>14</v>
      </c>
      <c r="C195">
        <f>-11-10.8-10.8-10.8-11</f>
        <v>-54.4</v>
      </c>
    </row>
    <row r="196" spans="2:7">
      <c r="B196" t="s">
        <v>6</v>
      </c>
      <c r="C196">
        <v>143</v>
      </c>
    </row>
    <row r="197" spans="2:7">
      <c r="B197" t="s">
        <v>39</v>
      </c>
      <c r="C197">
        <v>-2000</v>
      </c>
    </row>
    <row r="198" spans="2:7">
      <c r="B198" t="s">
        <v>11</v>
      </c>
      <c r="C198">
        <v>-110.6</v>
      </c>
    </row>
    <row r="199" spans="2:7">
      <c r="B199" t="s">
        <v>32</v>
      </c>
      <c r="C199">
        <v>-200</v>
      </c>
    </row>
    <row r="200" spans="2:7">
      <c r="B200" t="s">
        <v>40</v>
      </c>
      <c r="C200">
        <f>SUM(C192:C199)</f>
        <v>-3435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22701</cp:lastModifiedBy>
  <dcterms:created xsi:type="dcterms:W3CDTF">2023-05-12T11:15:00Z</dcterms:created>
  <dcterms:modified xsi:type="dcterms:W3CDTF">2026-03-12T10:34:37Z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B0874EDB07B04065A34240FD12A005E6_12</vt:lpwstr>
  </property>
  <property fmtid="{D5CDD505-2E9C-101B-9397-08002B2CF9AE}" pid="4" name="CalculationRule">
    <vt:i4>0</vt:i4>
  </property>
</Properties>
</file>